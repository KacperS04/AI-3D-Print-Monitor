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kacpe\Desktop\Agent AI Kacper Stróżyński, Fryderyk Wojtachnik\"/>
    </mc:Choice>
  </mc:AlternateContent>
  <xr:revisionPtr revIDLastSave="0" documentId="13_ncr:1_{96F93633-93D1-4B7B-BB61-3FBF948F95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alkulator Pakietów" sheetId="1" r:id="rId1"/>
    <sheet name="Marke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F21" i="1"/>
  <c r="G21" i="1"/>
  <c r="G12" i="1"/>
  <c r="F12" i="1"/>
  <c r="B5" i="2"/>
  <c r="B26" i="1" l="1"/>
  <c r="B34" i="1" s="1"/>
  <c r="B25" i="1"/>
  <c r="B27" i="1" l="1"/>
  <c r="B28" i="1" s="1"/>
  <c r="B35" i="1" s="1"/>
  <c r="B33" i="1"/>
  <c r="B36" i="1" l="1"/>
  <c r="B37" i="1" s="1"/>
  <c r="B38" i="1" l="1"/>
  <c r="B39" i="1" s="1"/>
</calcChain>
</file>

<file path=xl/sharedStrings.xml><?xml version="1.0" encoding="utf-8"?>
<sst xmlns="http://schemas.openxmlformats.org/spreadsheetml/2006/main" count="102" uniqueCount="59">
  <si>
    <t>1. PARAMETRY WEJŚCIOWE (ZMIENNE ABONAMENTU)</t>
  </si>
  <si>
    <t>Nazwa parametru</t>
  </si>
  <si>
    <t>Wartość</t>
  </si>
  <si>
    <t>Jednostka</t>
  </si>
  <si>
    <t>Liczba drukarek w pakiecie</t>
  </si>
  <si>
    <t>szt.</t>
  </si>
  <si>
    <t>Limit godzin na jedną drukarkę</t>
  </si>
  <si>
    <t>godzin</t>
  </si>
  <si>
    <t>Limit wydruków na jedną drukarkę</t>
  </si>
  <si>
    <t>wydruków</t>
  </si>
  <si>
    <t>Częstotliwość robienia zdjęć</t>
  </si>
  <si>
    <t>minut</t>
  </si>
  <si>
    <t>Skuteczność YOLO (% klatek do Gemini)</t>
  </si>
  <si>
    <t>%</t>
  </si>
  <si>
    <t>Kurs waluty USD/PLN</t>
  </si>
  <si>
    <t>PLN</t>
  </si>
  <si>
    <t>2. STAŁE STAWKI API GOOGLE AI STUDIO (USD)</t>
  </si>
  <si>
    <t>Koszt ankiety przed wydrukiem</t>
  </si>
  <si>
    <t>USD</t>
  </si>
  <si>
    <t>Koszt ankiety po wydruku</t>
  </si>
  <si>
    <t>Koszt analizy jednej klatki (Gemini)</t>
  </si>
  <si>
    <t>3. ESTYMOWANE WOLUMENY DANYCH W MIESIĄCU</t>
  </si>
  <si>
    <t>Łączny miesięczny limit godzin</t>
  </si>
  <si>
    <t>Łączny miesięczny limit wydruków</t>
  </si>
  <si>
    <t>Maksymalna łączna liczba zdjęć z kamer</t>
  </si>
  <si>
    <t>zdjęć</t>
  </si>
  <si>
    <t>Liczba zdjęć przekazywana do Gemini (po filtrze YOLO)</t>
  </si>
  <si>
    <t>4. ANALIZA KOSZTÓW INFRASTRUKTURY I WYCENA PAKIETU</t>
  </si>
  <si>
    <t>Miesięczny koszt ankiet PRZED</t>
  </si>
  <si>
    <t>Miesięczny koszt ankiet PO</t>
  </si>
  <si>
    <t>Miesięczny koszt analizy klatek (Gemini)</t>
  </si>
  <si>
    <t>RAZEM: Koszt infrastruktury chmurowej (USD)</t>
  </si>
  <si>
    <t>RAZEM: Koszt infrastruktury chmurowej (PLN)</t>
  </si>
  <si>
    <t>Sugerowana CENA PAKIETU NETTO dla klienta (PLN)</t>
  </si>
  <si>
    <t>Koszt załadowania materiałów wiedzy</t>
  </si>
  <si>
    <t xml:space="preserve">INTERAKTYWNY KALKULATOR PAKIETÓW </t>
  </si>
  <si>
    <t>MIESIĘCZNY ZYSK NA CZYSTO Z PAKIETU (PLN)</t>
  </si>
  <si>
    <t>Narzucana marża</t>
  </si>
  <si>
    <t>Działanie marketingowe</t>
  </si>
  <si>
    <t>Koszt miesięczny (PLN)</t>
  </si>
  <si>
    <t>Opis</t>
  </si>
  <si>
    <t>Współpraca z kanałami na YT</t>
  </si>
  <si>
    <t>Wysłanie darmowych dostępów + opłata dla 1-2 mniejszych twórców za recenzję.</t>
  </si>
  <si>
    <t>Reklamy Meta/Google (B2C)</t>
  </si>
  <si>
    <t>Precyzyjne targetowanie osób interesujących się drukiem 3D, Bambu Lab, Prusa.</t>
  </si>
  <si>
    <t>Materiały graficzne/wideo</t>
  </si>
  <si>
    <t>Robisz sam (zrzuty z symulacji, timelapsy z YT).</t>
  </si>
  <si>
    <t>SUMA MIESIĘCZNIE:</t>
  </si>
  <si>
    <t>Pakiet hobbysta</t>
  </si>
  <si>
    <t>Cena pakietu</t>
  </si>
  <si>
    <t>Koszt miesięczny</t>
  </si>
  <si>
    <t>Pakiet Hobbysta +</t>
  </si>
  <si>
    <t>Pakiet Standard</t>
  </si>
  <si>
    <t>Pakiet Standard +</t>
  </si>
  <si>
    <t>Pakiet Pro</t>
  </si>
  <si>
    <t>Pakiet Pro +</t>
  </si>
  <si>
    <t>BEP (Ilość kupionych pakietów)</t>
  </si>
  <si>
    <t>Parametr</t>
  </si>
  <si>
    <t>CENNIK PAKIETÓW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</si>
</sst>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&quot; zł&quot;"/>
    <numFmt numFmtId="166" formatCode="\$0.000000"/>
    <numFmt numFmtId="167" formatCode="\$#,##0.00"/>
    <numFmt numFmtId="168" formatCode="#,##0.00&quot; zł&quot;"/>
    <numFmt numFmtId="169" formatCode="#,##0.00\ &quot;zł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6"/>
      <color rgb="FF2C3E50"/>
      <name val="Arial"/>
      <family val="2"/>
      <charset val="238"/>
    </font>
    <font>
      <i/>
      <sz val="9"/>
      <color rgb="FF7F8C8D"/>
      <name val="Arial"/>
      <family val="2"/>
      <charset val="238"/>
    </font>
    <font>
      <b/>
      <sz val="12"/>
      <color rgb="FF2C3E50"/>
      <name val="Arial"/>
      <family val="2"/>
      <charset val="238"/>
    </font>
    <font>
      <b/>
      <sz val="10"/>
      <color rgb="FFFFFF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color rgb="FF1B4F72"/>
      <name val="Arial"/>
      <family val="2"/>
      <charset val="238"/>
    </font>
    <font>
      <b/>
      <sz val="11"/>
      <color rgb="FF1B4F72"/>
      <name val="Arial"/>
      <family val="2"/>
      <charset val="238"/>
    </font>
    <font>
      <b/>
      <sz val="11"/>
      <color rgb="FF1E8449"/>
      <name val="Arial"/>
      <family val="2"/>
      <charset val="238"/>
    </font>
    <font>
      <b/>
      <sz val="12"/>
      <color rgb="FF1E8449"/>
      <name val="Arial"/>
      <family val="2"/>
      <charset val="238"/>
    </font>
    <font>
      <b/>
      <sz val="11"/>
      <color rgb="FF1F1F1F"/>
      <name val="Arial"/>
      <family val="2"/>
      <charset val="238"/>
    </font>
    <font>
      <sz val="11"/>
      <color rgb="FF1F1F1F"/>
      <name val="Arial"/>
      <family val="2"/>
      <charset val="238"/>
    </font>
    <font>
      <sz val="11"/>
      <color rgb="FF9C0006"/>
      <name val="Calibri"/>
      <family val="2"/>
      <charset val="238"/>
      <scheme val="minor"/>
    </font>
    <font>
      <b/>
      <i/>
      <sz val="10"/>
      <color rgb="FF7F8C8D"/>
      <name val="Arial"/>
      <family val="2"/>
      <charset val="238"/>
    </font>
    <font>
      <sz val="11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AEDED"/>
        <bgColor rgb="FFEAEDED"/>
      </patternFill>
    </fill>
    <fill>
      <patternFill patternType="solid">
        <fgColor rgb="FFEBF5FB"/>
        <bgColor rgb="FFEBF5FB"/>
      </patternFill>
    </fill>
    <fill>
      <patternFill patternType="solid">
        <fgColor rgb="FFD5F5E3"/>
        <bgColor rgb="FFD5F5E3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1B4F72"/>
      </top>
      <bottom style="thin">
        <color rgb="FF1B4F72"/>
      </bottom>
      <diagonal/>
    </border>
    <border>
      <left/>
      <right/>
      <top style="thin">
        <color rgb="FF2C3E50"/>
      </top>
      <bottom style="double">
        <color rgb="FF2C3E5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4" fillId="6" borderId="0" applyNumberFormat="0" applyBorder="0" applyAlignment="0" applyProtection="0"/>
    <xf numFmtId="0" fontId="1" fillId="7" borderId="0" applyNumberFormat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1" xfId="0" applyFont="1" applyBorder="1"/>
    <xf numFmtId="3" fontId="7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/>
    <xf numFmtId="166" fontId="7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/>
    <xf numFmtId="167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2" xfId="0" applyFont="1" applyFill="1" applyBorder="1"/>
    <xf numFmtId="168" fontId="9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10" fillId="5" borderId="3" xfId="0" applyFont="1" applyFill="1" applyBorder="1"/>
    <xf numFmtId="168" fontId="11" fillId="5" borderId="3" xfId="0" applyNumberFormat="1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center" vertical="center"/>
    </xf>
    <xf numFmtId="0" fontId="7" fillId="0" borderId="0" xfId="0" applyFont="1"/>
    <xf numFmtId="166" fontId="7" fillId="0" borderId="0" xfId="0" applyNumberFormat="1" applyFont="1" applyAlignment="1">
      <alignment horizontal="right" vertical="center"/>
    </xf>
    <xf numFmtId="0" fontId="12" fillId="0" borderId="4" xfId="0" applyFont="1" applyBorder="1" applyAlignment="1">
      <alignment horizontal="left" vertical="center" wrapText="1" indent="1" readingOrder="1"/>
    </xf>
    <xf numFmtId="3" fontId="13" fillId="0" borderId="4" xfId="0" applyNumberFormat="1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left" vertical="center" wrapText="1" indent="1" readingOrder="1"/>
    </xf>
    <xf numFmtId="0" fontId="13" fillId="0" borderId="4" xfId="0" applyFont="1" applyBorder="1" applyAlignment="1">
      <alignment horizontal="center" vertical="center" wrapText="1" readingOrder="1"/>
    </xf>
    <xf numFmtId="3" fontId="12" fillId="0" borderId="4" xfId="0" applyNumberFormat="1" applyFont="1" applyBorder="1" applyAlignment="1">
      <alignment horizontal="center" vertical="center" wrapText="1" readingOrder="1"/>
    </xf>
    <xf numFmtId="0" fontId="15" fillId="0" borderId="1" xfId="0" applyFont="1" applyBorder="1"/>
    <xf numFmtId="0" fontId="6" fillId="0" borderId="0" xfId="0" applyFont="1"/>
    <xf numFmtId="169" fontId="0" fillId="0" borderId="0" xfId="0" applyNumberFormat="1"/>
    <xf numFmtId="168" fontId="14" fillId="6" borderId="1" xfId="1" applyNumberForma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6" fillId="0" borderId="6" xfId="0" applyFont="1" applyBorder="1"/>
    <xf numFmtId="0" fontId="0" fillId="0" borderId="6" xfId="0" applyBorder="1"/>
    <xf numFmtId="169" fontId="0" fillId="0" borderId="6" xfId="0" applyNumberFormat="1" applyBorder="1"/>
    <xf numFmtId="0" fontId="16" fillId="0" borderId="7" xfId="0" applyFont="1" applyBorder="1"/>
    <xf numFmtId="0" fontId="0" fillId="0" borderId="8" xfId="0" applyBorder="1"/>
    <xf numFmtId="2" fontId="0" fillId="0" borderId="9" xfId="0" applyNumberFormat="1" applyBorder="1"/>
    <xf numFmtId="0" fontId="1" fillId="7" borderId="6" xfId="2" applyBorder="1"/>
    <xf numFmtId="169" fontId="1" fillId="7" borderId="6" xfId="2" applyNumberFormat="1" applyBorder="1"/>
    <xf numFmtId="2" fontId="0" fillId="0" borderId="8" xfId="0" applyNumberFormat="1" applyBorder="1"/>
    <xf numFmtId="0" fontId="0" fillId="0" borderId="9" xfId="0" applyBorder="1"/>
    <xf numFmtId="0" fontId="17" fillId="0" borderId="0" xfId="0" applyFont="1" applyAlignment="1">
      <alignment horizontal="center"/>
    </xf>
  </cellXfs>
  <cellStyles count="3">
    <cellStyle name="20% — akcent 1" xfId="2" builtinId="30"/>
    <cellStyle name="Normalny" xfId="0" builtinId="0"/>
    <cellStyle name="Zły" xfId="1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Struktura Finansowa Pakietu (PLN)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'Kalkulator Pakietów'!$A$37:$A$39</c:f>
              <c:strCache>
                <c:ptCount val="3"/>
                <c:pt idx="0">
                  <c:v>RAZEM: Koszt infrastruktury chmurowej (PLN)</c:v>
                </c:pt>
                <c:pt idx="1">
                  <c:v>Sugerowana CENA PAKIETU NETTO dla klienta (PLN)</c:v>
                </c:pt>
                <c:pt idx="2">
                  <c:v>MIESIĘCZNY ZYSK NA CZYSTO Z PAKIETU (PLN)</c:v>
                </c:pt>
              </c:strCache>
            </c:strRef>
          </c:cat>
          <c:val>
            <c:numRef>
              <c:f>'Kalkulator Pakietów'!$B$37:$B$39</c:f>
              <c:numCache>
                <c:formatCode>#\ ##0.00" zł"</c:formatCode>
                <c:ptCount val="3"/>
                <c:pt idx="0">
                  <c:v>711.42352399999993</c:v>
                </c:pt>
                <c:pt idx="1">
                  <c:v>1244.9911669999999</c:v>
                </c:pt>
                <c:pt idx="2">
                  <c:v>533.56764299999998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F-4035-8912-62B7A3ECE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Metryka Finansowa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Wartość w PLN</a:t>
                </a:r>
              </a:p>
            </c:rich>
          </c:tx>
          <c:overlay val="0"/>
        </c:title>
        <c:numFmt formatCode="#\ ##0.00&quot; zł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7" zoomScale="85" zoomScaleNormal="85" workbookViewId="0">
      <selection activeCell="B10" sqref="B10"/>
    </sheetView>
  </sheetViews>
  <sheetFormatPr defaultRowHeight="14.5" x14ac:dyDescent="0.35"/>
  <cols>
    <col min="1" max="1" width="93" customWidth="1"/>
    <col min="2" max="2" width="16" customWidth="1"/>
    <col min="3" max="3" width="13" customWidth="1"/>
    <col min="4" max="4" width="6.08984375" customWidth="1"/>
    <col min="5" max="5" width="33.36328125" bestFit="1" customWidth="1"/>
    <col min="6" max="6" width="14.7265625" bestFit="1" customWidth="1"/>
    <col min="7" max="7" width="16.54296875" bestFit="1" customWidth="1"/>
  </cols>
  <sheetData>
    <row r="1" spans="1:7" ht="25" customHeight="1" x14ac:dyDescent="0.4">
      <c r="A1" s="1" t="s">
        <v>35</v>
      </c>
    </row>
    <row r="2" spans="1:7" x14ac:dyDescent="0.35">
      <c r="A2" s="2"/>
    </row>
    <row r="3" spans="1:7" ht="17" customHeight="1" x14ac:dyDescent="0.35"/>
    <row r="4" spans="1:7" ht="23.5" x14ac:dyDescent="0.55000000000000004">
      <c r="A4" s="3" t="s">
        <v>0</v>
      </c>
      <c r="E4" s="45" t="s">
        <v>58</v>
      </c>
      <c r="F4" s="45"/>
      <c r="G4" s="45"/>
    </row>
    <row r="5" spans="1:7" ht="24" customHeight="1" x14ac:dyDescent="0.35">
      <c r="A5" s="4" t="s">
        <v>1</v>
      </c>
      <c r="B5" s="4" t="s">
        <v>2</v>
      </c>
      <c r="C5" s="4" t="s">
        <v>3</v>
      </c>
      <c r="E5" s="4" t="s">
        <v>57</v>
      </c>
      <c r="F5" s="4" t="s">
        <v>48</v>
      </c>
      <c r="G5" s="4" t="s">
        <v>51</v>
      </c>
    </row>
    <row r="6" spans="1:7" x14ac:dyDescent="0.35">
      <c r="A6" s="5" t="s">
        <v>4</v>
      </c>
      <c r="B6" s="6">
        <v>20</v>
      </c>
      <c r="C6" s="7" t="s">
        <v>5</v>
      </c>
      <c r="E6" s="35" t="s">
        <v>4</v>
      </c>
      <c r="F6" s="36">
        <v>1</v>
      </c>
      <c r="G6" s="36">
        <v>3</v>
      </c>
    </row>
    <row r="7" spans="1:7" x14ac:dyDescent="0.35">
      <c r="A7" s="5" t="s">
        <v>6</v>
      </c>
      <c r="B7" s="6">
        <v>600</v>
      </c>
      <c r="C7" s="7" t="s">
        <v>7</v>
      </c>
      <c r="E7" s="35" t="s">
        <v>6</v>
      </c>
      <c r="F7" s="36">
        <v>50</v>
      </c>
      <c r="G7" s="36">
        <v>50</v>
      </c>
    </row>
    <row r="8" spans="1:7" x14ac:dyDescent="0.35">
      <c r="A8" s="5" t="s">
        <v>8</v>
      </c>
      <c r="B8" s="6">
        <v>120</v>
      </c>
      <c r="C8" s="7" t="s">
        <v>9</v>
      </c>
      <c r="E8" s="35" t="s">
        <v>8</v>
      </c>
      <c r="F8" s="36">
        <v>15</v>
      </c>
      <c r="G8" s="36">
        <v>15</v>
      </c>
    </row>
    <row r="9" spans="1:7" x14ac:dyDescent="0.35">
      <c r="A9" s="5" t="s">
        <v>10</v>
      </c>
      <c r="B9" s="6">
        <v>1</v>
      </c>
      <c r="C9" s="7" t="s">
        <v>11</v>
      </c>
      <c r="E9" s="35" t="s">
        <v>10</v>
      </c>
      <c r="F9" s="36">
        <v>1</v>
      </c>
      <c r="G9" s="36">
        <v>1</v>
      </c>
    </row>
    <row r="10" spans="1:7" x14ac:dyDescent="0.35">
      <c r="A10" s="5" t="s">
        <v>12</v>
      </c>
      <c r="B10" s="8">
        <v>0.25</v>
      </c>
      <c r="C10" s="7" t="s">
        <v>13</v>
      </c>
      <c r="E10" s="35" t="s">
        <v>50</v>
      </c>
      <c r="F10" s="37">
        <v>3.07</v>
      </c>
      <c r="G10" s="37">
        <v>9.15</v>
      </c>
    </row>
    <row r="11" spans="1:7" x14ac:dyDescent="0.35">
      <c r="A11" s="5" t="s">
        <v>37</v>
      </c>
      <c r="B11" s="8">
        <v>0.75</v>
      </c>
      <c r="C11" s="7" t="s">
        <v>13</v>
      </c>
      <c r="E11" s="41" t="s">
        <v>49</v>
      </c>
      <c r="F11" s="42">
        <v>12</v>
      </c>
      <c r="G11" s="42">
        <v>25</v>
      </c>
    </row>
    <row r="12" spans="1:7" ht="15" thickBot="1" x14ac:dyDescent="0.4">
      <c r="A12" s="5" t="s">
        <v>14</v>
      </c>
      <c r="B12" s="9">
        <v>4</v>
      </c>
      <c r="C12" s="34" t="s">
        <v>15</v>
      </c>
      <c r="E12" s="38" t="s">
        <v>56</v>
      </c>
      <c r="F12" s="43">
        <f>6500/F11</f>
        <v>541.66666666666663</v>
      </c>
      <c r="G12" s="44">
        <f>6500/G11</f>
        <v>260</v>
      </c>
    </row>
    <row r="14" spans="1:7" x14ac:dyDescent="0.35">
      <c r="E14" s="4" t="s">
        <v>57</v>
      </c>
      <c r="F14" s="4" t="s">
        <v>52</v>
      </c>
      <c r="G14" s="4" t="s">
        <v>53</v>
      </c>
    </row>
    <row r="15" spans="1:7" ht="15.5" x14ac:dyDescent="0.35">
      <c r="A15" s="3" t="s">
        <v>16</v>
      </c>
      <c r="E15" s="35" t="s">
        <v>4</v>
      </c>
      <c r="F15" s="36">
        <v>5</v>
      </c>
      <c r="G15" s="36">
        <v>10</v>
      </c>
    </row>
    <row r="16" spans="1:7" ht="24" customHeight="1" x14ac:dyDescent="0.35">
      <c r="A16" s="4" t="s">
        <v>1</v>
      </c>
      <c r="B16" s="4" t="s">
        <v>2</v>
      </c>
      <c r="C16" s="4" t="s">
        <v>3</v>
      </c>
      <c r="E16" s="35" t="s">
        <v>6</v>
      </c>
      <c r="F16" s="36">
        <v>300</v>
      </c>
      <c r="G16" s="36">
        <v>300</v>
      </c>
    </row>
    <row r="17" spans="1:7" x14ac:dyDescent="0.35">
      <c r="A17" s="10" t="s">
        <v>17</v>
      </c>
      <c r="B17" s="11">
        <v>2.055E-3</v>
      </c>
      <c r="C17" s="7" t="s">
        <v>18</v>
      </c>
      <c r="E17" s="35" t="s">
        <v>8</v>
      </c>
      <c r="F17" s="36">
        <v>100</v>
      </c>
      <c r="G17" s="36">
        <v>100</v>
      </c>
    </row>
    <row r="18" spans="1:7" x14ac:dyDescent="0.35">
      <c r="A18" s="10" t="s">
        <v>19</v>
      </c>
      <c r="B18" s="11">
        <v>1.6230000000000001E-3</v>
      </c>
      <c r="C18" s="7" t="s">
        <v>18</v>
      </c>
      <c r="E18" s="35" t="s">
        <v>10</v>
      </c>
      <c r="F18" s="36">
        <v>3</v>
      </c>
      <c r="G18" s="36">
        <v>3</v>
      </c>
    </row>
    <row r="19" spans="1:7" x14ac:dyDescent="0.35">
      <c r="A19" s="10" t="s">
        <v>20</v>
      </c>
      <c r="B19" s="11">
        <v>9.3899999999999995E-4</v>
      </c>
      <c r="C19" s="7" t="s">
        <v>18</v>
      </c>
      <c r="E19" s="35" t="s">
        <v>50</v>
      </c>
      <c r="F19" s="37">
        <v>35.56</v>
      </c>
      <c r="G19" s="37">
        <v>75</v>
      </c>
    </row>
    <row r="20" spans="1:7" x14ac:dyDescent="0.35">
      <c r="A20" s="23" t="s">
        <v>34</v>
      </c>
      <c r="B20" s="24">
        <v>8.6809999999999995E-3</v>
      </c>
      <c r="C20" s="7" t="s">
        <v>18</v>
      </c>
      <c r="E20" s="41" t="s">
        <v>49</v>
      </c>
      <c r="F20" s="42">
        <v>55</v>
      </c>
      <c r="G20" s="42">
        <v>100</v>
      </c>
    </row>
    <row r="21" spans="1:7" ht="15" thickBot="1" x14ac:dyDescent="0.4">
      <c r="E21" s="38" t="s">
        <v>56</v>
      </c>
      <c r="F21" s="43">
        <f>6500/F20</f>
        <v>118.18181818181819</v>
      </c>
      <c r="G21" s="44">
        <f>6500/G20</f>
        <v>65</v>
      </c>
    </row>
    <row r="23" spans="1:7" ht="15.5" x14ac:dyDescent="0.35">
      <c r="A23" s="3" t="s">
        <v>21</v>
      </c>
      <c r="E23" s="4" t="s">
        <v>57</v>
      </c>
      <c r="F23" s="4" t="s">
        <v>54</v>
      </c>
      <c r="G23" s="4" t="s">
        <v>55</v>
      </c>
    </row>
    <row r="24" spans="1:7" ht="24" customHeight="1" x14ac:dyDescent="0.35">
      <c r="A24" s="4" t="s">
        <v>1</v>
      </c>
      <c r="B24" s="4" t="s">
        <v>2</v>
      </c>
      <c r="C24" s="4" t="s">
        <v>3</v>
      </c>
      <c r="E24" s="35" t="s">
        <v>4</v>
      </c>
      <c r="F24" s="36">
        <v>20</v>
      </c>
      <c r="G24" s="36">
        <v>30</v>
      </c>
    </row>
    <row r="25" spans="1:7" x14ac:dyDescent="0.35">
      <c r="A25" s="10" t="s">
        <v>22</v>
      </c>
      <c r="B25" s="12">
        <f>B6*B7</f>
        <v>12000</v>
      </c>
      <c r="C25" s="7" t="s">
        <v>7</v>
      </c>
      <c r="E25" s="35" t="s">
        <v>6</v>
      </c>
      <c r="F25" s="36">
        <v>600</v>
      </c>
      <c r="G25" s="36">
        <v>660</v>
      </c>
    </row>
    <row r="26" spans="1:7" x14ac:dyDescent="0.35">
      <c r="A26" s="10" t="s">
        <v>23</v>
      </c>
      <c r="B26" s="12">
        <f>B6*B8</f>
        <v>2400</v>
      </c>
      <c r="C26" s="7" t="s">
        <v>9</v>
      </c>
      <c r="E26" s="35" t="s">
        <v>8</v>
      </c>
      <c r="F26" s="36">
        <v>120</v>
      </c>
      <c r="G26" s="36">
        <v>150</v>
      </c>
    </row>
    <row r="27" spans="1:7" x14ac:dyDescent="0.35">
      <c r="A27" s="10" t="s">
        <v>24</v>
      </c>
      <c r="B27" s="12">
        <f>(B25*60)/B9</f>
        <v>720000</v>
      </c>
      <c r="C27" s="7" t="s">
        <v>25</v>
      </c>
      <c r="E27" s="35" t="s">
        <v>10</v>
      </c>
      <c r="F27" s="36">
        <v>5</v>
      </c>
      <c r="G27" s="36">
        <v>5</v>
      </c>
    </row>
    <row r="28" spans="1:7" x14ac:dyDescent="0.35">
      <c r="A28" s="10" t="s">
        <v>26</v>
      </c>
      <c r="B28" s="12">
        <f>B27*B10</f>
        <v>180000</v>
      </c>
      <c r="C28" s="7" t="s">
        <v>25</v>
      </c>
      <c r="E28" s="35" t="s">
        <v>50</v>
      </c>
      <c r="F28" s="37">
        <v>170.56</v>
      </c>
      <c r="G28" s="37">
        <v>289.35000000000002</v>
      </c>
    </row>
    <row r="29" spans="1:7" x14ac:dyDescent="0.35">
      <c r="E29" s="41" t="s">
        <v>49</v>
      </c>
      <c r="F29" s="42">
        <v>250</v>
      </c>
      <c r="G29" s="42">
        <v>350</v>
      </c>
    </row>
    <row r="30" spans="1:7" ht="15" thickBot="1" x14ac:dyDescent="0.4">
      <c r="E30" s="38" t="s">
        <v>56</v>
      </c>
      <c r="F30" s="39">
        <f>6500/F29</f>
        <v>26</v>
      </c>
      <c r="G30" s="40">
        <f>6500/G29</f>
        <v>18.571428571428573</v>
      </c>
    </row>
    <row r="31" spans="1:7" ht="15.5" x14ac:dyDescent="0.35">
      <c r="A31" s="3" t="s">
        <v>27</v>
      </c>
    </row>
    <row r="32" spans="1:7" ht="24" customHeight="1" x14ac:dyDescent="0.35">
      <c r="A32" s="4" t="s">
        <v>1</v>
      </c>
      <c r="B32" s="4" t="s">
        <v>2</v>
      </c>
      <c r="C32" s="4" t="s">
        <v>3</v>
      </c>
      <c r="D32" s="5"/>
    </row>
    <row r="33" spans="1:5" x14ac:dyDescent="0.35">
      <c r="A33" s="10" t="s">
        <v>28</v>
      </c>
      <c r="B33" s="13">
        <f>B26*B17</f>
        <v>4.9319999999999995</v>
      </c>
      <c r="C33" s="7" t="s">
        <v>18</v>
      </c>
      <c r="D33" s="5"/>
    </row>
    <row r="34" spans="1:5" x14ac:dyDescent="0.35">
      <c r="A34" s="10" t="s">
        <v>29</v>
      </c>
      <c r="B34" s="13">
        <f>B26*B18</f>
        <v>3.8952000000000004</v>
      </c>
      <c r="C34" s="7" t="s">
        <v>18</v>
      </c>
      <c r="D34" s="5"/>
    </row>
    <row r="35" spans="1:5" x14ac:dyDescent="0.35">
      <c r="A35" s="10" t="s">
        <v>30</v>
      </c>
      <c r="B35" s="13">
        <f>B28*B19</f>
        <v>169.01999999999998</v>
      </c>
      <c r="C35" s="7" t="s">
        <v>18</v>
      </c>
      <c r="D35" s="5"/>
    </row>
    <row r="36" spans="1:5" x14ac:dyDescent="0.35">
      <c r="A36" s="14" t="s">
        <v>31</v>
      </c>
      <c r="B36" s="15">
        <f>SUM(B33:B35)+B20</f>
        <v>177.85588099999998</v>
      </c>
      <c r="C36" s="16" t="s">
        <v>18</v>
      </c>
      <c r="D36" s="31"/>
      <c r="E36" s="32"/>
    </row>
    <row r="37" spans="1:5" x14ac:dyDescent="0.35">
      <c r="A37" s="14" t="s">
        <v>32</v>
      </c>
      <c r="B37" s="33">
        <f>B36*B12</f>
        <v>711.42352399999993</v>
      </c>
      <c r="C37" s="16" t="s">
        <v>15</v>
      </c>
      <c r="D37" s="30"/>
      <c r="E37" s="32"/>
    </row>
    <row r="38" spans="1:5" x14ac:dyDescent="0.35">
      <c r="A38" s="17" t="s">
        <v>33</v>
      </c>
      <c r="B38" s="18">
        <f>B37*(1+B11)</f>
        <v>1244.9911669999999</v>
      </c>
      <c r="C38" s="19" t="s">
        <v>15</v>
      </c>
    </row>
    <row r="39" spans="1:5" ht="15.5" x14ac:dyDescent="0.35">
      <c r="A39" s="20" t="s">
        <v>36</v>
      </c>
      <c r="B39" s="21">
        <f>B38-B37</f>
        <v>533.56764299999998</v>
      </c>
      <c r="C39" s="22" t="s">
        <v>15</v>
      </c>
    </row>
  </sheetData>
  <mergeCells count="1">
    <mergeCell ref="E4:G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541D-4906-41B5-9C89-26B6D9AF5B05}">
  <dimension ref="A1:C5"/>
  <sheetViews>
    <sheetView workbookViewId="0">
      <selection sqref="A1:C1"/>
    </sheetView>
  </sheetViews>
  <sheetFormatPr defaultRowHeight="14.5" x14ac:dyDescent="0.35"/>
  <cols>
    <col min="1" max="1" width="24.453125" bestFit="1" customWidth="1"/>
    <col min="2" max="2" width="17.90625" customWidth="1"/>
    <col min="3" max="3" width="22.26953125" customWidth="1"/>
  </cols>
  <sheetData>
    <row r="1" spans="1:3" ht="42.5" thickBot="1" x14ac:dyDescent="0.4">
      <c r="A1" s="25" t="s">
        <v>38</v>
      </c>
      <c r="B1" s="25" t="s">
        <v>39</v>
      </c>
      <c r="C1" s="25" t="s">
        <v>40</v>
      </c>
    </row>
    <row r="2" spans="1:3" ht="57.5" customHeight="1" thickBot="1" x14ac:dyDescent="0.4">
      <c r="A2" s="25" t="s">
        <v>41</v>
      </c>
      <c r="B2" s="26">
        <v>1500</v>
      </c>
      <c r="C2" s="27" t="s">
        <v>42</v>
      </c>
    </row>
    <row r="3" spans="1:3" ht="70.5" thickBot="1" x14ac:dyDescent="0.4">
      <c r="A3" s="25" t="s">
        <v>43</v>
      </c>
      <c r="B3" s="26">
        <v>5000</v>
      </c>
      <c r="C3" s="27" t="s">
        <v>44</v>
      </c>
    </row>
    <row r="4" spans="1:3" ht="42.5" thickBot="1" x14ac:dyDescent="0.4">
      <c r="A4" s="25" t="s">
        <v>45</v>
      </c>
      <c r="B4" s="28">
        <v>0</v>
      </c>
      <c r="C4" s="27" t="s">
        <v>46</v>
      </c>
    </row>
    <row r="5" spans="1:3" ht="15" thickBot="1" x14ac:dyDescent="0.4">
      <c r="A5" s="25" t="s">
        <v>47</v>
      </c>
      <c r="B5" s="29">
        <f>SUM(B2:B4)</f>
        <v>6500</v>
      </c>
      <c r="C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Kalkulator Pakietów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Stróżyński Kacper (STUD)</cp:lastModifiedBy>
  <dcterms:created xsi:type="dcterms:W3CDTF">2026-06-10T09:12:29Z</dcterms:created>
  <dcterms:modified xsi:type="dcterms:W3CDTF">2026-06-12T11:24:51Z</dcterms:modified>
</cp:coreProperties>
</file>